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olicitudes" sheetId="1" r:id="rId4"/>
    <sheet state="visible" name="Practicantes" sheetId="2" r:id="rId5"/>
    <sheet state="visible" name="Asignador" sheetId="3" r:id="rId6"/>
  </sheets>
  <definedNames/>
  <calcPr/>
  <extLst>
    <ext uri="GoogleSheetsCustomDataVersion2">
      <go:sheetsCustomData xmlns:go="http://customooxmlschemas.google.com/" r:id="rId7" roundtripDataChecksum="oaMrHp1PBqn7mhzlcwdcnfLtbJXs7SW/3tw6m7RIqq8="/>
    </ext>
  </extLst>
</workbook>
</file>

<file path=xl/sharedStrings.xml><?xml version="1.0" encoding="utf-8"?>
<sst xmlns="http://schemas.openxmlformats.org/spreadsheetml/2006/main" count="89" uniqueCount="53">
  <si>
    <t>ID</t>
  </si>
  <si>
    <t>Cliente / Proceso</t>
  </si>
  <si>
    <t>Tipo</t>
  </si>
  <si>
    <t>Estado</t>
  </si>
  <si>
    <t>Practicante</t>
  </si>
  <si>
    <t>Fecha asignación</t>
  </si>
  <si>
    <t>Fecha cierre</t>
  </si>
  <si>
    <t>Notas</t>
  </si>
  <si>
    <t>93096571</t>
  </si>
  <si>
    <t>ETB SERVICIO ATENCION TRAMITES E INFO</t>
  </si>
  <si>
    <t>Modificación Formulario</t>
  </si>
  <si>
    <t>En espera</t>
  </si>
  <si>
    <t>Lina Tobar</t>
  </si>
  <si>
    <t/>
  </si>
  <si>
    <t>94192404</t>
  </si>
  <si>
    <t>AQUALIA</t>
  </si>
  <si>
    <t>Generar Audio</t>
  </si>
  <si>
    <t>Cerrada</t>
  </si>
  <si>
    <t>Lina Bohorquez</t>
  </si>
  <si>
    <t>82810525</t>
  </si>
  <si>
    <t>WOM - FABRICA DE CREDITO</t>
  </si>
  <si>
    <t>Actualizacion Cartera P</t>
  </si>
  <si>
    <t>Angel Vanegas</t>
  </si>
  <si>
    <t>94141816</t>
  </si>
  <si>
    <t>SUBRED NORTE</t>
  </si>
  <si>
    <t>Modificación Formulario AWS</t>
  </si>
  <si>
    <t>94244130</t>
  </si>
  <si>
    <t>RETENCION TERCER ANILLO</t>
  </si>
  <si>
    <t>Alisson Acosta</t>
  </si>
  <si>
    <t>94276391</t>
  </si>
  <si>
    <t>AXA - AUTOS</t>
  </si>
  <si>
    <t>Juan Prado</t>
  </si>
  <si>
    <t>MARSH – CENTRO AMERICA &amp; CARIBE</t>
  </si>
  <si>
    <t xml:space="preserve"> THOMAS GREG &amp; SONS IDC </t>
  </si>
  <si>
    <t>Nuevo formulario</t>
  </si>
  <si>
    <t>TRUE BLUE  PET</t>
  </si>
  <si>
    <t>En curso</t>
  </si>
  <si>
    <t>ETB AUDITORIAS</t>
  </si>
  <si>
    <t>Activas</t>
  </si>
  <si>
    <t>Última asignación</t>
  </si>
  <si>
    <t>Control fecha</t>
  </si>
  <si>
    <t>Rotación</t>
  </si>
  <si>
    <t>Score</t>
  </si>
  <si>
    <t>Asignación automática (por carga + antigüedad + rotación)</t>
  </si>
  <si>
    <t>Siguiente practicante por asignacion:</t>
  </si>
  <si>
    <t>Regla:</t>
  </si>
  <si>
    <t>1) Menos solicitudes activas (Estado = Asignada / En curso).</t>
  </si>
  <si>
    <t>2) Si empatan, quien lleve más días sin recibir (última asignación más antigua).</t>
  </si>
  <si>
    <t>3) Si aún empatan, se desempata por el orden de 'Rotación'.</t>
  </si>
  <si>
    <t>Cómo usarlo (sin macros):</t>
  </si>
  <si>
    <t>• Agrega la solicitud en 'Solicitudes' (o deja la que esté Sin asignar).</t>
  </si>
  <si>
    <t>• Pon Practicante = el recomendado (celda B3) y Fecha asignación = HOY().</t>
  </si>
  <si>
    <t>• El recomendado se actualizará automáticamente para la siguiente.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</si>
</sst>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1">
    <numFmt numFmtId="164" formatCode="yyyy-mm-dd"/>
  </numFmts>
  <fonts count="5">
    <font>
      <sz val="11.0"/>
      <color theme="1"/>
      <name val="Calibri"/>
      <scheme val="minor"/>
    </font>
    <font>
      <b/>
      <color rgb="FFFFFFFF"/>
      <name val="Calibri"/>
      <scheme val="minor"/>
    </font>
    <font>
      <sz val="11.0"/>
      <color theme="1"/>
      <name val="Calibri"/>
    </font>
    <font>
      <b/>
      <sz val="14.0"/>
      <color theme="1"/>
      <name val="Calibri"/>
      <scheme val="minor"/>
    </font>
    <font>
      <b/>
      <color theme="1"/>
      <name val="Calibri"/>
      <scheme val="minor"/>
    </font>
  </fonts>
  <fills count="3">
    <fill>
      <patternFill patternType="none"/>
    </fill>
    <fill>
      <patternFill patternType="lightGray"/>
    </fill>
    <fill>
      <patternFill patternType="solid">
        <fgColor rgb="FF1F4E79"/>
        <bgColor rgb="FF1F4E79"/>
      </patternFill>
    </fill>
  </fills>
  <borders count="2">
    <border/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</border>
  </borders>
  <cellStyleXfs count="1">
    <xf borderId="0" fillId="0" fontId="0" numFmtId="0" applyAlignment="1" applyFont="1"/>
  </cellStyleXfs>
  <cellXfs count="14">
    <xf borderId="0" fillId="0" fontId="0" numFmtId="0" xfId="0" applyAlignment="1" applyFont="1">
      <alignment readingOrder="0" shrinkToFit="0" vertical="bottom" wrapText="0"/>
    </xf>
    <xf borderId="1" fillId="2" fontId="1" numFmtId="0" xfId="0" applyAlignment="1" applyBorder="1" applyFill="1" applyFont="1">
      <alignment horizontal="center" shrinkToFit="0" vertical="center" wrapText="1"/>
    </xf>
    <xf borderId="1" fillId="0" fontId="2" numFmtId="0" xfId="0" applyAlignment="1" applyBorder="1" applyFont="1">
      <alignment horizontal="center" shrinkToFit="0" vertical="center" wrapText="1"/>
    </xf>
    <xf borderId="1" fillId="0" fontId="2" numFmtId="0" xfId="0" applyAlignment="1" applyBorder="1" applyFont="1">
      <alignment horizontal="left" shrinkToFit="0" vertical="top" wrapText="1"/>
    </xf>
    <xf borderId="1" fillId="0" fontId="2" numFmtId="0" xfId="0" applyAlignment="1" applyBorder="1" applyFont="1">
      <alignment horizontal="center" readingOrder="0" shrinkToFit="0" vertical="center" wrapText="1"/>
    </xf>
    <xf borderId="1" fillId="0" fontId="2" numFmtId="164" xfId="0" applyAlignment="1" applyBorder="1" applyFont="1" applyNumberFormat="1">
      <alignment horizontal="center" shrinkToFit="0" vertical="center" wrapText="1"/>
    </xf>
    <xf borderId="1" fillId="0" fontId="2" numFmtId="164" xfId="0" applyAlignment="1" applyBorder="1" applyFont="1" applyNumberFormat="1">
      <alignment horizontal="center" readingOrder="0" shrinkToFit="0" vertical="center" wrapText="1"/>
    </xf>
    <xf borderId="0" fillId="0" fontId="2" numFmtId="0" xfId="0" applyAlignment="1" applyFont="1">
      <alignment horizontal="center" readingOrder="0" shrinkToFit="0" vertical="center" wrapText="1"/>
    </xf>
    <xf borderId="0" fillId="0" fontId="2" numFmtId="0" xfId="0" applyAlignment="1" applyFont="1">
      <alignment horizontal="left" readingOrder="0" shrinkToFit="0" vertical="top" wrapText="1"/>
    </xf>
    <xf borderId="0" fillId="0" fontId="2" numFmtId="0" xfId="0" applyAlignment="1" applyFont="1">
      <alignment horizontal="center" shrinkToFit="0" vertical="center" wrapText="1"/>
    </xf>
    <xf borderId="0" fillId="0" fontId="2" numFmtId="0" xfId="0" applyAlignment="1" applyFont="1">
      <alignment horizontal="left" shrinkToFit="0" vertical="top" wrapText="1"/>
    </xf>
    <xf borderId="0" fillId="0" fontId="3" numFmtId="0" xfId="0" applyFont="1"/>
    <xf borderId="0" fillId="0" fontId="4" numFmtId="0" xfId="0" applyAlignment="1" applyFont="1">
      <alignment horizontal="left" readingOrder="0" shrinkToFit="0" vertical="top" wrapText="1"/>
    </xf>
    <xf borderId="0" fillId="0" fontId="2" numFmtId="0" xfId="0" applyAlignment="1" applyFont="1">
      <alignment horizontal="left" shrinkToFit="0" vertical="top" wrapText="1"/>
    </xf>
  </cellXfs>
  <cellStyles count="1">
    <cellStyle xfId="0" name="Normal" builtinId="0"/>
  </cellStyles>
  <dxfs count="6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B8CCE4"/>
          <bgColor rgb="FFB8CCE4"/>
        </patternFill>
      </fill>
      <border/>
    </dxf>
    <dxf>
      <font/>
      <fill>
        <patternFill patternType="solid">
          <fgColor rgb="FFDBE5F1"/>
          <bgColor rgb="FFDBE5F1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8D7DA"/>
          <bgColor rgb="FFF8D7DA"/>
        </patternFill>
      </fill>
      <border/>
    </dxf>
  </dxfs>
  <tableStyles count="2">
    <tableStyle count="3" pivot="0" name="Solicitudes-style">
      <tableStyleElement dxfId="1" type="headerRow"/>
      <tableStyleElement dxfId="2" type="firstRowStripe"/>
      <tableStyleElement dxfId="3" type="secondRowStripe"/>
    </tableStyle>
    <tableStyle count="3" pivot="0" name="Practicantes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1:H13" displayName="Table_1" name="Table_1" id="1">
  <tableColumns count="8">
    <tableColumn name="ID" id="1"/>
    <tableColumn name="Cliente / Proceso" id="2"/>
    <tableColumn name="Tipo" id="3"/>
    <tableColumn name="Estado" id="4"/>
    <tableColumn name="Practicante" id="5"/>
    <tableColumn name="Fecha asignación" id="6"/>
    <tableColumn name="Fecha cierre" id="7"/>
    <tableColumn name="Notas" id="8"/>
  </tableColumns>
  <tableStyleInfo name="Solicitudes-style" showColumnStripes="0" showFirstColumn="1" showLastColumn="1" showRowStripes="1"/>
</table>
</file>

<file path=xl/tables/table2.xml><?xml version="1.0" encoding="utf-8"?>
<table xmlns="http://schemas.openxmlformats.org/spreadsheetml/2006/main" ref="A1:F5" displayName="Table_2" name="Table_2" id="2">
  <tableColumns count="6">
    <tableColumn name="Practicante" id="1"/>
    <tableColumn name="Activas" id="2"/>
    <tableColumn name="Última asignación" id="3"/>
    <tableColumn name="Control fecha" id="4"/>
    <tableColumn name="Rotación" id="5"/>
    <tableColumn name="Score" id="6"/>
  </tableColumns>
  <tableStyleInfo name="Practicantes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0.86"/>
    <col customWidth="1" min="2" max="2" width="34.0"/>
    <col customWidth="1" min="3" max="3" width="28.0"/>
    <col customWidth="1" min="4" max="4" width="25.71"/>
    <col customWidth="1" min="5" max="5" width="18.0"/>
    <col customWidth="1" min="6" max="6" width="16.0"/>
    <col customWidth="1" min="7" max="7" width="20.43"/>
    <col customWidth="1" min="8" max="8" width="28.0"/>
    <col customWidth="1" min="9" max="26" width="8.71"/>
  </cols>
  <sheetData>
    <row r="1" ht="27.7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>
      <c r="A2" s="2" t="s">
        <v>8</v>
      </c>
      <c r="B2" s="3" t="s">
        <v>9</v>
      </c>
      <c r="C2" s="3" t="s">
        <v>10</v>
      </c>
      <c r="D2" s="4" t="s">
        <v>11</v>
      </c>
      <c r="E2" s="2" t="s">
        <v>12</v>
      </c>
      <c r="F2" s="5">
        <v>46035.0</v>
      </c>
      <c r="G2" s="5" t="s">
        <v>13</v>
      </c>
      <c r="H2" s="3" t="s">
        <v>13</v>
      </c>
    </row>
    <row r="3">
      <c r="A3" s="2" t="s">
        <v>14</v>
      </c>
      <c r="B3" s="3" t="s">
        <v>15</v>
      </c>
      <c r="C3" s="3" t="s">
        <v>16</v>
      </c>
      <c r="D3" s="4" t="s">
        <v>17</v>
      </c>
      <c r="E3" s="2" t="s">
        <v>18</v>
      </c>
      <c r="F3" s="5">
        <v>46035.0</v>
      </c>
      <c r="G3" s="6">
        <v>46035.0</v>
      </c>
      <c r="H3" s="3" t="s">
        <v>13</v>
      </c>
    </row>
    <row r="4">
      <c r="A4" s="2" t="s">
        <v>19</v>
      </c>
      <c r="B4" s="3" t="s">
        <v>20</v>
      </c>
      <c r="C4" s="3" t="s">
        <v>21</v>
      </c>
      <c r="D4" s="4" t="s">
        <v>17</v>
      </c>
      <c r="E4" s="2" t="s">
        <v>22</v>
      </c>
      <c r="F4" s="5">
        <v>46035.0</v>
      </c>
      <c r="G4" s="6">
        <v>46037.0</v>
      </c>
      <c r="H4" s="3" t="s">
        <v>13</v>
      </c>
    </row>
    <row r="5">
      <c r="A5" s="2" t="s">
        <v>23</v>
      </c>
      <c r="B5" s="3" t="s">
        <v>24</v>
      </c>
      <c r="C5" s="3" t="s">
        <v>25</v>
      </c>
      <c r="D5" s="4" t="s">
        <v>17</v>
      </c>
      <c r="E5" s="2" t="s">
        <v>22</v>
      </c>
      <c r="F5" s="5">
        <v>46035.0</v>
      </c>
      <c r="G5" s="6">
        <v>46036.0</v>
      </c>
      <c r="H5" s="3" t="s">
        <v>13</v>
      </c>
    </row>
    <row r="6">
      <c r="A6" s="2" t="s">
        <v>26</v>
      </c>
      <c r="B6" s="3" t="s">
        <v>27</v>
      </c>
      <c r="C6" s="3" t="s">
        <v>10</v>
      </c>
      <c r="D6" s="4" t="s">
        <v>17</v>
      </c>
      <c r="E6" s="4" t="s">
        <v>28</v>
      </c>
      <c r="F6" s="5">
        <v>46035.0</v>
      </c>
      <c r="G6" s="6">
        <v>46038.0</v>
      </c>
      <c r="H6" s="3" t="s">
        <v>13</v>
      </c>
    </row>
    <row r="7">
      <c r="A7" s="2" t="s">
        <v>29</v>
      </c>
      <c r="B7" s="3" t="s">
        <v>30</v>
      </c>
      <c r="C7" s="3" t="s">
        <v>10</v>
      </c>
      <c r="D7" s="4" t="s">
        <v>17</v>
      </c>
      <c r="E7" s="4" t="s">
        <v>31</v>
      </c>
      <c r="F7" s="5">
        <v>46035.0</v>
      </c>
      <c r="G7" s="6">
        <v>46042.0</v>
      </c>
      <c r="H7" s="3" t="s">
        <v>13</v>
      </c>
    </row>
    <row r="8">
      <c r="A8" s="7">
        <v>9.4457738E7</v>
      </c>
      <c r="B8" s="8" t="s">
        <v>32</v>
      </c>
      <c r="C8" s="8" t="s">
        <v>16</v>
      </c>
      <c r="D8" s="4" t="s">
        <v>17</v>
      </c>
      <c r="E8" s="2" t="s">
        <v>18</v>
      </c>
      <c r="F8" s="5">
        <v>46035.0</v>
      </c>
      <c r="G8" s="9"/>
      <c r="H8" s="10"/>
    </row>
    <row r="9">
      <c r="A9" s="7">
        <v>9.5443919E7</v>
      </c>
      <c r="B9" s="8" t="s">
        <v>33</v>
      </c>
      <c r="C9" s="8" t="s">
        <v>34</v>
      </c>
      <c r="D9" s="4" t="s">
        <v>17</v>
      </c>
      <c r="E9" s="4" t="s">
        <v>28</v>
      </c>
      <c r="F9" s="6">
        <v>46038.0</v>
      </c>
      <c r="G9" s="9"/>
      <c r="H9" s="10"/>
    </row>
    <row r="10">
      <c r="A10" s="7">
        <v>9.5472323E7</v>
      </c>
      <c r="B10" s="8" t="s">
        <v>35</v>
      </c>
      <c r="C10" s="8" t="s">
        <v>10</v>
      </c>
      <c r="D10" s="4" t="s">
        <v>17</v>
      </c>
      <c r="E10" s="2" t="s">
        <v>22</v>
      </c>
      <c r="F10" s="6">
        <v>46041.0</v>
      </c>
      <c r="G10" s="6">
        <v>46044.0</v>
      </c>
      <c r="H10" s="10"/>
    </row>
    <row r="11">
      <c r="A11" s="7">
        <v>9.5579346E7</v>
      </c>
      <c r="B11" s="8" t="s">
        <v>20</v>
      </c>
      <c r="C11" s="8" t="s">
        <v>10</v>
      </c>
      <c r="D11" s="4" t="s">
        <v>17</v>
      </c>
      <c r="E11" s="2" t="s">
        <v>12</v>
      </c>
      <c r="F11" s="6">
        <v>46041.0</v>
      </c>
      <c r="G11" s="9"/>
      <c r="H11" s="10"/>
    </row>
    <row r="12">
      <c r="A12" s="7">
        <v>9.5593908E7</v>
      </c>
      <c r="B12" s="8" t="s">
        <v>30</v>
      </c>
      <c r="C12" s="8" t="s">
        <v>10</v>
      </c>
      <c r="D12" s="4" t="s">
        <v>36</v>
      </c>
      <c r="E12" s="2" t="s">
        <v>18</v>
      </c>
      <c r="F12" s="6">
        <v>46041.0</v>
      </c>
      <c r="G12" s="9"/>
      <c r="H12" s="10"/>
    </row>
    <row r="13">
      <c r="A13" s="7">
        <v>2488199.0</v>
      </c>
      <c r="B13" s="8" t="s">
        <v>37</v>
      </c>
      <c r="C13" s="8" t="s">
        <v>10</v>
      </c>
      <c r="D13" s="4" t="s">
        <v>36</v>
      </c>
      <c r="E13" s="4" t="s">
        <v>31</v>
      </c>
      <c r="F13" s="6">
        <v>46043.0</v>
      </c>
      <c r="G13" s="9"/>
      <c r="H13" s="10"/>
    </row>
    <row r="19" ht="15.75" customHeight="1"/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conditionalFormatting sqref="A2:H998">
    <cfRule type="expression" dxfId="4" priority="1">
      <formula>$D2="Sin asignar"</formula>
    </cfRule>
  </conditionalFormatting>
  <conditionalFormatting sqref="A2:H998">
    <cfRule type="expression" dxfId="5" priority="2">
      <formula>AND(OR($D2="Asignada",$D2="En curso"),$F2="")</formula>
    </cfRule>
  </conditionalFormatting>
  <dataValidations>
    <dataValidation type="list" allowBlank="1" showErrorMessage="1" sqref="D2:D13">
      <formula1>"En curso,Cerrada,Sin asignar,En espera"</formula1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8.0"/>
    <col customWidth="1" min="2" max="2" width="10.0"/>
    <col customWidth="1" min="3" max="3" width="33.43"/>
    <col customWidth="1" min="4" max="4" width="25.14"/>
    <col customWidth="1" min="5" max="5" width="10.0"/>
    <col customWidth="1" min="6" max="6" width="29.57"/>
    <col customWidth="1" min="7" max="26" width="8.71"/>
  </cols>
  <sheetData>
    <row r="1" ht="25.5" customHeight="1">
      <c r="A1" s="1" t="s">
        <v>4</v>
      </c>
      <c r="B1" s="1" t="s">
        <v>38</v>
      </c>
      <c r="C1" s="1" t="s">
        <v>39</v>
      </c>
      <c r="D1" s="1" t="s">
        <v>40</v>
      </c>
      <c r="E1" s="1" t="s">
        <v>41</v>
      </c>
      <c r="F1" s="1" t="s">
        <v>42</v>
      </c>
    </row>
    <row r="2">
      <c r="A2" s="3" t="s">
        <v>12</v>
      </c>
      <c r="B2" s="2">
        <f>COUNTIFS(Solicitudes!$E$2:$E$498,A2,Solicitudes!$D$2:$D$498,"En curso")+COUNTIFS(Solicitudes!$E$2:$E$498,A2,Solicitudes!$D$2:$D$498,"Asignada")</f>
        <v>0</v>
      </c>
      <c r="C2" s="5">
        <f>IF(MAXIFS(Solicitudes!$F$2:$F$498,Solicitudes!$E$2:$E$498,A2)=0,"",MAXIFS(Solicitudes!$F$2:$F$498,Solicitudes!$E$2:$E$498,A2))</f>
        <v>46041</v>
      </c>
      <c r="D2" s="2" t="str">
        <f t="shared" ref="D2:D5" si="1">IF(AND(B2&gt;0,C2=""),"⚠ Falta fecha","OK")</f>
        <v>OK</v>
      </c>
      <c r="E2" s="2">
        <v>1.0</v>
      </c>
      <c r="F2" s="5">
        <f t="shared" ref="F2:F5" si="2">B2*100000 + IF(C2="",0,C2) + E2/1000</f>
        <v>46041.001</v>
      </c>
    </row>
    <row r="3">
      <c r="A3" s="3" t="s">
        <v>18</v>
      </c>
      <c r="B3" s="2">
        <f>COUNTIFS(Solicitudes!$E$2:$E$498,A3,Solicitudes!$D$2:$D$498,"En curso")+COUNTIFS(Solicitudes!$E$2:$E$498,A3,Solicitudes!$D$2:$D$498,"Asignada")</f>
        <v>1</v>
      </c>
      <c r="C3" s="5">
        <f>IF(MAXIFS(Solicitudes!$F$2:$F$498,Solicitudes!$E$2:$E$498,A3)=0,"",MAXIFS(Solicitudes!$F$2:$F$498,Solicitudes!$E$2:$E$498,A3))</f>
        <v>46041</v>
      </c>
      <c r="D3" s="2" t="str">
        <f t="shared" si="1"/>
        <v>OK</v>
      </c>
      <c r="E3" s="2">
        <v>2.0</v>
      </c>
      <c r="F3" s="5">
        <f t="shared" si="2"/>
        <v>146041.002</v>
      </c>
    </row>
    <row r="4">
      <c r="A4" s="3" t="s">
        <v>28</v>
      </c>
      <c r="B4" s="2">
        <f>COUNTIFS(Solicitudes!$E$2:$E$498,A4,Solicitudes!$D$2:$D$498,"En curso")+COUNTIFS(Solicitudes!$E$2:$E$498,A4,Solicitudes!$D$2:$D$498,"Asignada")</f>
        <v>0</v>
      </c>
      <c r="C4" s="5">
        <f>IF(MAXIFS(Solicitudes!$F$2:$F$498,Solicitudes!$E$2:$E$498,A4)=0,"",MAXIFS(Solicitudes!$F$2:$F$498,Solicitudes!$E$2:$E$498,A4))</f>
        <v>46038</v>
      </c>
      <c r="D4" s="2" t="str">
        <f t="shared" si="1"/>
        <v>OK</v>
      </c>
      <c r="E4" s="2">
        <v>3.0</v>
      </c>
      <c r="F4" s="5">
        <f t="shared" si="2"/>
        <v>46038.003</v>
      </c>
    </row>
    <row r="5">
      <c r="A5" s="3" t="s">
        <v>22</v>
      </c>
      <c r="B5" s="2">
        <f>COUNTIFS(Solicitudes!$E$2:$E$498,A5,Solicitudes!$D$2:$D$498,"En curso")+COUNTIFS(Solicitudes!$E$2:$E$498,A5,Solicitudes!$D$2:$D$498,"Asignada")</f>
        <v>0</v>
      </c>
      <c r="C5" s="5">
        <f>IF(MAXIFS(Solicitudes!$F$2:$F$498,Solicitudes!$E$2:$E$498,A5)=0,"",MAXIFS(Solicitudes!$F$2:$F$498,Solicitudes!$E$2:$E$498,A5))</f>
        <v>46041</v>
      </c>
      <c r="D5" s="2" t="str">
        <f t="shared" si="1"/>
        <v>OK</v>
      </c>
      <c r="E5" s="2">
        <v>5.0</v>
      </c>
      <c r="F5" s="5">
        <f t="shared" si="2"/>
        <v>46041.005</v>
      </c>
    </row>
    <row r="20" ht="15.75" customHeight="1"/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conditionalFormatting sqref="A2:F5">
    <cfRule type="expression" dxfId="5" priority="1">
      <formula>$D2="⚠ Falta fecha"</formula>
    </cfRule>
  </conditionalFormatting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92.86"/>
    <col customWidth="1" min="2" max="2" width="30.0"/>
    <col customWidth="1" min="3" max="26" width="8.71"/>
  </cols>
  <sheetData>
    <row r="1">
      <c r="A1" s="11" t="s">
        <v>43</v>
      </c>
    </row>
    <row r="3">
      <c r="A3" s="12" t="s">
        <v>44</v>
      </c>
      <c r="B3" s="13" t="str">
        <f t="array" ref="B3">INDEX(Practicantes!$A$2:$A$5, MATCH(MIN(Practicantes!$F$2:$F$5), Practicantes!$F$2:$F$5, 0))</f>
        <v>Alisson Acosta</v>
      </c>
    </row>
    <row r="4">
      <c r="A4" s="13"/>
      <c r="B4" s="13"/>
    </row>
    <row r="5">
      <c r="A5" s="13" t="s">
        <v>45</v>
      </c>
      <c r="B5" s="13"/>
    </row>
    <row r="6">
      <c r="A6" s="13" t="s">
        <v>46</v>
      </c>
      <c r="B6" s="13"/>
    </row>
    <row r="7">
      <c r="A7" s="13" t="s">
        <v>47</v>
      </c>
      <c r="B7" s="13"/>
    </row>
    <row r="8">
      <c r="A8" s="13" t="s">
        <v>48</v>
      </c>
      <c r="B8" s="13"/>
    </row>
    <row r="9">
      <c r="A9" s="13"/>
      <c r="B9" s="13"/>
    </row>
    <row r="10">
      <c r="A10" s="13" t="s">
        <v>49</v>
      </c>
      <c r="B10" s="13"/>
    </row>
    <row r="11">
      <c r="A11" s="13" t="s">
        <v>50</v>
      </c>
      <c r="B11" s="13"/>
    </row>
    <row r="12">
      <c r="A12" s="13" t="s">
        <v>51</v>
      </c>
      <c r="B12" s="13"/>
    </row>
    <row r="13">
      <c r="A13" s="13" t="s">
        <v>52</v>
      </c>
      <c r="B13" s="13"/>
    </row>
    <row r="15">
      <c r="A15" s="13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